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台账" sheetId="1" state="visible" r:id="rId1"/>
    <sheet xmlns:r="http://schemas.openxmlformats.org/officeDocument/2006/relationships" name="阶段总览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'Task台账'!$A$1:$K$55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DCE6F1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ewMediaTasks" displayName="NewMediaTasks" ref="A1:K55" headerRowCount="1">
  <autoFilter ref="A1:K55"/>
  <tableColumns count="11">
    <tableColumn id="1" name="Task ID"/>
    <tableColumn id="2" name="优先级"/>
    <tableColumn id="3" name="工作流"/>
    <tableColumn id="4" name="任务"/>
    <tableColumn id="5" name="状态"/>
    <tableColumn id="6" name="依赖"/>
    <tableColumn id="7" name="负责人角色"/>
    <tableColumn id="8" name="估算人日"/>
    <tableColumn id="9" name="交付物"/>
    <tableColumn id="10" name="Definition of Done"/>
    <tableColumn id="11" name="风险/外部依赖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34" customWidth="1" min="4" max="4"/>
    <col width="16" customWidth="1" min="5" max="5"/>
    <col width="20" customWidth="1" min="6" max="6"/>
    <col width="17" customWidth="1" min="7" max="7"/>
    <col width="12" customWidth="1" min="8" max="8"/>
    <col width="34" customWidth="1" min="9" max="9"/>
    <col width="55" customWidth="1" min="10" max="10"/>
    <col width="28" customWidth="1" min="11" max="11"/>
  </cols>
  <sheetData>
    <row r="1" ht="28" customHeight="1">
      <c r="A1" s="1" t="inlineStr">
        <is>
          <t>Task ID</t>
        </is>
      </c>
      <c r="B1" s="1" t="inlineStr">
        <is>
          <t>优先级</t>
        </is>
      </c>
      <c r="C1" s="1" t="inlineStr">
        <is>
          <t>工作流</t>
        </is>
      </c>
      <c r="D1" s="1" t="inlineStr">
        <is>
          <t>任务</t>
        </is>
      </c>
      <c r="E1" s="1" t="inlineStr">
        <is>
          <t>状态</t>
        </is>
      </c>
      <c r="F1" s="1" t="inlineStr">
        <is>
          <t>依赖</t>
        </is>
      </c>
      <c r="G1" s="1" t="inlineStr">
        <is>
          <t>负责人角色</t>
        </is>
      </c>
      <c r="H1" s="1" t="inlineStr">
        <is>
          <t>估算人日</t>
        </is>
      </c>
      <c r="I1" s="1" t="inlineStr">
        <is>
          <t>交付物</t>
        </is>
      </c>
      <c r="J1" s="1" t="inlineStr">
        <is>
          <t>Definition of Done</t>
        </is>
      </c>
      <c r="K1" s="1" t="inlineStr">
        <is>
          <t>风险/外部依赖</t>
        </is>
      </c>
    </row>
    <row r="2">
      <c r="A2" s="2" t="inlineStr">
        <is>
          <t>P0-01</t>
        </is>
      </c>
      <c r="B2" s="2" t="inlineStr">
        <is>
          <t>P0</t>
        </is>
      </c>
      <c r="C2" s="2" t="inlineStr">
        <is>
          <t>领域骨架</t>
        </is>
      </c>
      <c r="D2" s="2" t="inlineStr">
        <is>
          <t>固化新媒体能力包与插件边界</t>
        </is>
      </c>
      <c r="E2" s="2" t="inlineStr">
        <is>
          <t>已完成</t>
        </is>
      </c>
      <c r="F2" s="2" t="inlineStr">
        <is>
          <t>—</t>
        </is>
      </c>
      <c r="G2" s="2" t="inlineStr">
        <is>
          <t>架构/后端</t>
        </is>
      </c>
      <c r="H2" s="3" t="n">
        <v>1</v>
      </c>
      <c r="I2" s="2" t="inlineStr">
        <is>
          <t>插件 manifest、能力开关、Skills 映射</t>
        </is>
      </c>
      <c r="J2" s="2" t="inlineStr">
        <is>
          <t>能力停用后不注入工具/Skill；不产生外部副作用</t>
        </is>
      </c>
      <c r="K2" s="2" t="inlineStr">
        <is>
          <t>低</t>
        </is>
      </c>
    </row>
    <row r="3">
      <c r="A3" s="2" t="inlineStr">
        <is>
          <t>P0-02</t>
        </is>
      </c>
      <c r="B3" s="2" t="inlineStr">
        <is>
          <t>P0</t>
        </is>
      </c>
      <c r="C3" s="2" t="inlineStr">
        <is>
          <t>适配器</t>
        </is>
      </c>
      <c r="D3" s="2" t="inlineStr">
        <is>
          <t>建立 PlatformAdapter 契约与 Registry</t>
        </is>
      </c>
      <c r="E3" s="2" t="inlineStr">
        <is>
          <t>已实现待提交</t>
        </is>
      </c>
      <c r="F3" s="2" t="inlineStr">
        <is>
          <t>P0-01</t>
        </is>
      </c>
      <c r="G3" s="2" t="inlineStr">
        <is>
          <t>后端</t>
        </is>
      </c>
      <c r="H3" s="3" t="n">
        <v>2</v>
      </c>
      <c r="I3" s="2" t="inlineStr">
        <is>
          <t>Adapter 接口、能力矩阵、错误码、Registry</t>
        </is>
      </c>
      <c r="J3" s="2" t="inlineStr">
        <is>
          <t>重复注册和未知平台可诊断；双平台本地 Adapter 契约测试通过</t>
        </is>
      </c>
      <c r="K3" s="2" t="inlineStr">
        <is>
          <t>低</t>
        </is>
      </c>
    </row>
    <row r="4">
      <c r="A4" s="2" t="inlineStr">
        <is>
          <t>P0-03</t>
        </is>
      </c>
      <c r="B4" s="2" t="inlineStr">
        <is>
          <t>P0</t>
        </is>
      </c>
      <c r="C4" s="2" t="inlineStr">
        <is>
          <t>账号授权</t>
        </is>
      </c>
      <c r="D4" s="2" t="inlineStr">
        <is>
          <t>建立账号授权状态机</t>
        </is>
      </c>
      <c r="E4" s="2" t="inlineStr">
        <is>
          <t>已实现待提交</t>
        </is>
      </c>
      <c r="F4" s="2" t="inlineStr">
        <is>
          <t>P0-02</t>
        </is>
      </c>
      <c r="G4" s="2" t="inlineStr">
        <is>
          <t>后端</t>
        </is>
      </c>
      <c r="H4" s="3" t="n">
        <v>3</v>
      </c>
      <c r="I4" s="2" t="inlineStr">
        <is>
          <t>账号模型、授权开始/完成/校验/断开服务</t>
        </is>
      </c>
      <c r="J4" s="2" t="inlineStr">
        <is>
          <t>不支持授权时不得进入 connected；成功/失败/断开均可审计</t>
        </is>
      </c>
      <c r="K4" s="2" t="inlineStr">
        <is>
          <t>低</t>
        </is>
      </c>
    </row>
    <row r="5">
      <c r="A5" s="2" t="inlineStr">
        <is>
          <t>P0-04</t>
        </is>
      </c>
      <c r="B5" s="2" t="inlineStr">
        <is>
          <t>P0</t>
        </is>
      </c>
      <c r="C5" s="2" t="inlineStr">
        <is>
          <t>安全</t>
        </is>
      </c>
      <c r="D5" s="2" t="inlineStr">
        <is>
          <t>隔离并保护账号授权材料</t>
        </is>
      </c>
      <c r="E5" s="2" t="inlineStr">
        <is>
          <t>已实现待提交</t>
        </is>
      </c>
      <c r="F5" s="2" t="inlineStr">
        <is>
          <t>P0-03</t>
        </is>
      </c>
      <c r="G5" s="2" t="inlineStr">
        <is>
          <t>安全/后端</t>
        </is>
      </c>
      <c r="H5" s="3" t="n">
        <v>2</v>
      </c>
      <c r="I5" s="2" t="inlineStr">
        <is>
          <t>account-secrets.enc、RuntimeSecretCodec 接入</t>
        </is>
      </c>
      <c r="J5" s="2" t="inlineStr">
        <is>
          <t>SQLite、IPC、日志、UI 均不出现 Token/Secret；降级保护可见</t>
        </is>
      </c>
      <c r="K5" s="2" t="inlineStr">
        <is>
          <t>中：safeStorage 可用性</t>
        </is>
      </c>
    </row>
    <row r="6">
      <c r="A6" s="2" t="inlineStr">
        <is>
          <t>P0-05</t>
        </is>
      </c>
      <c r="B6" s="2" t="inlineStr">
        <is>
          <t>P0</t>
        </is>
      </c>
      <c r="C6" s="2" t="inlineStr">
        <is>
          <t>工作台</t>
        </is>
      </c>
      <c r="D6" s="2" t="inlineStr">
        <is>
          <t>账号管理 UI 与无密钥 IPC</t>
        </is>
      </c>
      <c r="E6" s="2" t="inlineStr">
        <is>
          <t>已实现待提交</t>
        </is>
      </c>
      <c r="F6" s="2" t="inlineStr">
        <is>
          <t>P0-03,P0-04</t>
        </is>
      </c>
      <c r="G6" s="2" t="inlineStr">
        <is>
          <t>前端/后端</t>
        </is>
      </c>
      <c r="H6" s="3" t="n">
        <v>2</v>
      </c>
      <c r="I6" s="2" t="inlineStr">
        <is>
          <t>账号面板、IPC/Preload API</t>
        </is>
      </c>
      <c r="J6" s="2" t="inlineStr">
        <is>
          <t>Renderer 不能提交密钥；可创建占位、查看能力、审计和断开</t>
        </is>
      </c>
      <c r="K6" s="2" t="inlineStr">
        <is>
          <t>低</t>
        </is>
      </c>
    </row>
    <row r="7">
      <c r="A7" s="2" t="inlineStr">
        <is>
          <t>P0-06</t>
        </is>
      </c>
      <c r="B7" s="2" t="inlineStr">
        <is>
          <t>P0</t>
        </is>
      </c>
      <c r="C7" s="2" t="inlineStr">
        <is>
          <t>数据</t>
        </is>
      </c>
      <c r="D7" s="2" t="inlineStr">
        <is>
          <t>将通用 nm_record 演进为版本化领域 Schema</t>
        </is>
      </c>
      <c r="E7" s="2" t="inlineStr">
        <is>
          <t>待开始</t>
        </is>
      </c>
      <c r="F7" s="2" t="inlineStr">
        <is>
          <t>P0-03</t>
        </is>
      </c>
      <c r="G7" s="2" t="inlineStr">
        <is>
          <t>后端/数据</t>
        </is>
      </c>
      <c r="H7" s="3" t="n">
        <v>3</v>
      </c>
      <c r="I7" s="2" t="inlineStr">
        <is>
          <t>schema v2、accounts/audit/jobs 等表或受约束记录模型</t>
        </is>
      </c>
      <c r="J7" s="2" t="inlineStr">
        <is>
          <t>迁移可回滚；旧 new-media.db 可读取；索引覆盖主要查询</t>
        </is>
      </c>
      <c r="K7" s="2" t="inlineStr">
        <is>
          <t>中：兼容迁移</t>
        </is>
      </c>
    </row>
    <row r="8">
      <c r="A8" s="2" t="inlineStr">
        <is>
          <t>P0-07</t>
        </is>
      </c>
      <c r="B8" s="2" t="inlineStr">
        <is>
          <t>P0</t>
        </is>
      </c>
      <c r="C8" s="2" t="inlineStr">
        <is>
          <t>输入安全</t>
        </is>
      </c>
      <c r="D8" s="2" t="inlineStr">
        <is>
          <t>补齐所有新媒体 IPC 运行时校验</t>
        </is>
      </c>
      <c r="E8" s="2" t="inlineStr">
        <is>
          <t>部分完成</t>
        </is>
      </c>
      <c r="F8" s="2" t="inlineStr">
        <is>
          <t>P0-05</t>
        </is>
      </c>
      <c r="G8" s="2" t="inlineStr">
        <is>
          <t>后端/安全</t>
        </is>
      </c>
      <c r="H8" s="3" t="n">
        <v>2</v>
      </c>
      <c r="I8" s="2" t="inlineStr">
        <is>
          <t>统一 validator 与稳定错误 DTO</t>
        </is>
      </c>
      <c r="J8" s="2" t="inlineStr">
        <is>
          <t>畸形平台、ID、时间、数组及超长文本均在进入服务前拒绝</t>
        </is>
      </c>
      <c r="K8" s="2" t="inlineStr">
        <is>
          <t>中</t>
        </is>
      </c>
    </row>
    <row r="9">
      <c r="A9" s="2" t="inlineStr">
        <is>
          <t>P0-08</t>
        </is>
      </c>
      <c r="B9" s="2" t="inlineStr">
        <is>
          <t>P0</t>
        </is>
      </c>
      <c r="C9" s="2" t="inlineStr">
        <is>
          <t>审计</t>
        </is>
      </c>
      <c r="D9" s="2" t="inlineStr">
        <is>
          <t>统一账号、发布和互动审计事件规范</t>
        </is>
      </c>
      <c r="E9" s="2" t="inlineStr">
        <is>
          <t>部分完成</t>
        </is>
      </c>
      <c r="F9" s="2" t="inlineStr">
        <is>
          <t>P0-03,P0-06</t>
        </is>
      </c>
      <c r="G9" s="2" t="inlineStr">
        <is>
          <t>后端/安全</t>
        </is>
      </c>
      <c r="H9" s="3" t="n">
        <v>2</v>
      </c>
      <c r="I9" s="2" t="inlineStr">
        <is>
          <t>审计 schema、事件字典、脱敏策略</t>
        </is>
      </c>
      <c r="J9" s="2" t="inlineStr">
        <is>
          <t>每次状态迁移原子写审计；审计无正文密钥和敏感输入</t>
        </is>
      </c>
      <c r="K9" s="2" t="inlineStr">
        <is>
          <t>低</t>
        </is>
      </c>
    </row>
    <row r="10">
      <c r="A10" s="2" t="inlineStr">
        <is>
          <t>P0-09</t>
        </is>
      </c>
      <c r="B10" s="2" t="inlineStr">
        <is>
          <t>P0</t>
        </is>
      </c>
      <c r="C10" s="2" t="inlineStr">
        <is>
          <t>测试</t>
        </is>
      </c>
      <c r="D10" s="2" t="inlineStr">
        <is>
          <t>增加迁移、Secret Store、IPC 与 package smoke</t>
        </is>
      </c>
      <c r="E10" s="2" t="inlineStr">
        <is>
          <t>待开始</t>
        </is>
      </c>
      <c r="F10" s="2" t="inlineStr">
        <is>
          <t>P0-04,P0-06,P0-07</t>
        </is>
      </c>
      <c r="G10" s="2" t="inlineStr">
        <is>
          <t>QA/后端</t>
        </is>
      </c>
      <c r="H10" s="3" t="n">
        <v>4</v>
      </c>
      <c r="I10" s="2" t="inlineStr">
        <is>
          <t>自动化测试和实际打包 smoke</t>
        </is>
      </c>
      <c r="J10" s="2" t="inlineStr">
        <is>
          <t>测试使用 PROMA_TEST_CONFIG_DIR；资源、技能、DB 重开和停用均通过</t>
        </is>
      </c>
      <c r="K10" s="2" t="inlineStr">
        <is>
          <t>中</t>
        </is>
      </c>
    </row>
    <row r="11">
      <c r="A11" s="2" t="inlineStr">
        <is>
          <t>P0-10</t>
        </is>
      </c>
      <c r="B11" s="2" t="inlineStr">
        <is>
          <t>P0</t>
        </is>
      </c>
      <c r="C11" s="2" t="inlineStr">
        <is>
          <t>治理</t>
        </is>
      </c>
      <c r="D11" s="2" t="inlineStr">
        <is>
          <t>形成威胁模型与平台接入禁用清单</t>
        </is>
      </c>
      <c r="E11" s="2" t="inlineStr">
        <is>
          <t>已完成</t>
        </is>
      </c>
      <c r="F11" s="2" t="inlineStr">
        <is>
          <t>P0-02</t>
        </is>
      </c>
      <c r="G11" s="2" t="inlineStr">
        <is>
          <t>安全/产品</t>
        </is>
      </c>
      <c r="H11" s="3" t="n">
        <v>1</v>
      </c>
      <c r="I11" s="2" t="inlineStr">
        <is>
          <t>.context 连接器决策与威胁清单</t>
        </is>
      </c>
      <c r="J11" s="2" t="inlineStr">
        <is>
          <t>明确禁止 Cookie、密码、私有 API、验证码绕过和未授权抓取</t>
        </is>
      </c>
      <c r="K11" s="2" t="inlineStr">
        <is>
          <t>低</t>
        </is>
      </c>
    </row>
    <row r="12">
      <c r="A12" s="2" t="inlineStr">
        <is>
          <t>P0-11</t>
        </is>
      </c>
      <c r="B12" s="2" t="inlineStr">
        <is>
          <t>P0</t>
        </is>
      </c>
      <c r="C12" s="2" t="inlineStr">
        <is>
          <t>门禁</t>
        </is>
      </c>
      <c r="D12" s="2" t="inlineStr">
        <is>
          <t>收敛新媒体专项发布门禁</t>
        </is>
      </c>
      <c r="E12" s="2" t="inlineStr">
        <is>
          <t>待开始</t>
        </is>
      </c>
      <c r="F12" s="2" t="inlineStr">
        <is>
          <t>P0-06,P0-07,P0-09</t>
        </is>
      </c>
      <c r="G12" s="2" t="inlineStr">
        <is>
          <t>QA</t>
        </is>
      </c>
      <c r="H12" s="3" t="n">
        <v>2</v>
      </c>
      <c r="I12" s="2" t="inlineStr">
        <is>
          <t>专项 CI gate</t>
        </is>
      </c>
      <c r="J12" s="2" t="inlineStr">
        <is>
          <t>typecheck、专项测试、lint、build、docs、diff check 全绿</t>
        </is>
      </c>
      <c r="K12" s="2" t="inlineStr">
        <is>
          <t>中：全仓既有失败</t>
        </is>
      </c>
    </row>
    <row r="13">
      <c r="A13" s="2" t="inlineStr">
        <is>
          <t>P1-01</t>
        </is>
      </c>
      <c r="B13" s="2" t="inlineStr">
        <is>
          <t>P1</t>
        </is>
      </c>
      <c r="C13" s="2" t="inlineStr">
        <is>
          <t>小红书交接</t>
        </is>
      </c>
      <c r="D13" s="2" t="inlineStr">
        <is>
          <t>定义发布交接状态机</t>
        </is>
      </c>
      <c r="E13" s="2" t="inlineStr">
        <is>
          <t>待开始</t>
        </is>
      </c>
      <c r="F13" s="2" t="inlineStr">
        <is>
          <t>P0-06</t>
        </is>
      </c>
      <c r="G13" s="2" t="inlineStr">
        <is>
          <t>产品/后端</t>
        </is>
      </c>
      <c r="H13" s="3" t="n">
        <v>2</v>
      </c>
      <c r="I13" s="2" t="inlineStr">
        <is>
          <t>draft_ready/handed_off/user_confirmed_published 模型</t>
        </is>
      </c>
      <c r="J13" s="2" t="inlineStr">
        <is>
          <t>无官方回执时绝不写 published；所有转换有操作者和时间</t>
        </is>
      </c>
      <c r="K13" s="2" t="inlineStr">
        <is>
          <t>低</t>
        </is>
      </c>
    </row>
    <row r="14">
      <c r="A14" s="2" t="inlineStr">
        <is>
          <t>P1-02</t>
        </is>
      </c>
      <c r="B14" s="2" t="inlineStr">
        <is>
          <t>P1</t>
        </is>
      </c>
      <c r="C14" s="2" t="inlineStr">
        <is>
          <t>内容资产</t>
        </is>
      </c>
      <c r="D14" s="2" t="inlineStr">
        <is>
          <t>生成小红书媒体交付包</t>
        </is>
      </c>
      <c r="E14" s="2" t="inlineStr">
        <is>
          <t>待开始</t>
        </is>
      </c>
      <c r="F14" s="2" t="inlineStr">
        <is>
          <t>P1-01</t>
        </is>
      </c>
      <c r="G14" s="2" t="inlineStr">
        <is>
          <t>后端</t>
        </is>
      </c>
      <c r="H14" s="3" t="n">
        <v>3</v>
      </c>
      <c r="I14" s="2" t="inlineStr">
        <is>
          <t>文案、封面、图片/视频清单、校验摘要 ZIP</t>
        </is>
      </c>
      <c r="J14" s="2" t="inlineStr">
        <is>
          <t>文件命名稳定；缺失素材可诊断；不包含凭据或本地绝对路径</t>
        </is>
      </c>
      <c r="K14" s="2" t="inlineStr">
        <is>
          <t>中：媒体规格变化</t>
        </is>
      </c>
    </row>
    <row r="15">
      <c r="A15" s="2" t="inlineStr">
        <is>
          <t>P1-03</t>
        </is>
      </c>
      <c r="B15" s="2" t="inlineStr">
        <is>
          <t>P1</t>
        </is>
      </c>
      <c r="C15" s="2" t="inlineStr">
        <is>
          <t>工作台</t>
        </is>
      </c>
      <c r="D15" s="2" t="inlineStr">
        <is>
          <t>实现发布交接与复制导出 UI</t>
        </is>
      </c>
      <c r="E15" s="2" t="inlineStr">
        <is>
          <t>待开始</t>
        </is>
      </c>
      <c r="F15" s="2" t="inlineStr">
        <is>
          <t>P1-02</t>
        </is>
      </c>
      <c r="G15" s="2" t="inlineStr">
        <is>
          <t>前端</t>
        </is>
      </c>
      <c r="H15" s="3" t="n">
        <v>3</v>
      </c>
      <c r="I15" s="2" t="inlineStr">
        <is>
          <t>交接预览、复制、导出、打开官方入口</t>
        </is>
      </c>
      <c r="J15" s="2" t="inlineStr">
        <is>
          <t>用户可检查内容并明确点击交接；操作被审计</t>
        </is>
      </c>
      <c r="K15" s="2" t="inlineStr">
        <is>
          <t>低</t>
        </is>
      </c>
    </row>
    <row r="16">
      <c r="A16" s="2" t="inlineStr">
        <is>
          <t>P1-04</t>
        </is>
      </c>
      <c r="B16" s="2" t="inlineStr">
        <is>
          <t>P1</t>
        </is>
      </c>
      <c r="C16" s="2" t="inlineStr">
        <is>
          <t>官方分享</t>
        </is>
      </c>
      <c r="D16" s="2" t="inlineStr">
        <is>
          <t>申请并验证小红书分享开放平台</t>
        </is>
      </c>
      <c r="E16" s="2" t="inlineStr">
        <is>
          <t>外部申请</t>
        </is>
      </c>
      <c r="F16" s="2" t="inlineStr">
        <is>
          <t>P1-02</t>
        </is>
      </c>
      <c r="G16" s="2" t="inlineStr">
        <is>
          <t>产品/法务</t>
        </is>
      </c>
      <c r="H16" s="3" t="n">
        <v>5</v>
      </c>
      <c r="I16" s="2" t="inlineStr">
        <is>
          <t>企业/应用审核材料与可用 appKey</t>
        </is>
      </c>
      <c r="J16" s="2" t="inlineStr">
        <is>
          <t>官方审核通过；书面确认允许的媒体类型和交互边界</t>
        </is>
      </c>
      <c r="K16" s="2" t="inlineStr">
        <is>
          <t>高：平台审批</t>
        </is>
      </c>
    </row>
    <row r="17">
      <c r="A17" s="2" t="inlineStr">
        <is>
          <t>P1-05</t>
        </is>
      </c>
      <c r="B17" s="2" t="inlineStr">
        <is>
          <t>P1</t>
        </is>
      </c>
      <c r="C17" s="2" t="inlineStr">
        <is>
          <t>官方分享</t>
        </is>
      </c>
      <c r="D17" s="2" t="inlineStr">
        <is>
          <t>实现 Share SDK 桥接 Adapter</t>
        </is>
      </c>
      <c r="E17" s="2" t="inlineStr">
        <is>
          <t>等待外部权限</t>
        </is>
      </c>
      <c r="F17" s="2" t="inlineStr">
        <is>
          <t>P1-04</t>
        </is>
      </c>
      <c r="G17" s="2" t="inlineStr">
        <is>
          <t>客户端/后端</t>
        </is>
      </c>
      <c r="H17" s="3" t="n">
        <v>5</v>
      </c>
      <c r="I17" s="2" t="inlineStr">
        <is>
          <t>xiaohongshu-handoff Adapter</t>
        </is>
      </c>
      <c r="J17" s="2" t="inlineStr">
        <is>
          <t>只唤起官方发布页；最终发布由用户确认；失败可回到导出流程</t>
        </is>
      </c>
      <c r="K17" s="2" t="inlineStr">
        <is>
          <t>高：SDK 平台覆盖</t>
        </is>
      </c>
    </row>
    <row r="18">
      <c r="A18" s="2" t="inlineStr">
        <is>
          <t>P1-06</t>
        </is>
      </c>
      <c r="B18" s="2" t="inlineStr">
        <is>
          <t>P1</t>
        </is>
      </c>
      <c r="C18" s="2" t="inlineStr">
        <is>
          <t>数据导入</t>
        </is>
      </c>
      <c r="D18" s="2" t="inlineStr">
        <is>
          <t>定义专业号/蒲公英/聚光报表导入契约</t>
        </is>
      </c>
      <c r="E18" s="2" t="inlineStr">
        <is>
          <t>待开始</t>
        </is>
      </c>
      <c r="F18" s="2" t="inlineStr">
        <is>
          <t>P0-06</t>
        </is>
      </c>
      <c r="G18" s="2" t="inlineStr">
        <is>
          <t>数据/产品</t>
        </is>
      </c>
      <c r="H18" s="3" t="n">
        <v>2</v>
      </c>
      <c r="I18" s="2" t="inlineStr">
        <is>
          <t>字段字典、来源类型、版本和时间口径</t>
        </is>
      </c>
      <c r="J18" s="2" t="inlineStr">
        <is>
          <t>每列有来源和口径；商业报表不外推为普通账号全量数据</t>
        </is>
      </c>
      <c r="K18" s="2" t="inlineStr">
        <is>
          <t>中：报表版本</t>
        </is>
      </c>
    </row>
    <row r="19">
      <c r="A19" s="2" t="inlineStr">
        <is>
          <t>P1-07</t>
        </is>
      </c>
      <c r="B19" s="2" t="inlineStr">
        <is>
          <t>P1</t>
        </is>
      </c>
      <c r="C19" s="2" t="inlineStr">
        <is>
          <t>数据导入</t>
        </is>
      </c>
      <c r="D19" s="2" t="inlineStr">
        <is>
          <t>实现 CSV/XLSX 导入与预览</t>
        </is>
      </c>
      <c r="E19" s="2" t="inlineStr">
        <is>
          <t>待开始</t>
        </is>
      </c>
      <c r="F19" s="2" t="inlineStr">
        <is>
          <t>P1-06</t>
        </is>
      </c>
      <c r="G19" s="2" t="inlineStr">
        <is>
          <t>后端/前端</t>
        </is>
      </c>
      <c r="H19" s="3" t="n">
        <v>4</v>
      </c>
      <c r="I19" s="2" t="inlineStr">
        <is>
          <t>解析器、映射预览、错误报告</t>
        </is>
      </c>
      <c r="J19" s="2" t="inlineStr">
        <is>
          <t>不合法行不入库；用户确认映射后导入；原文件校验值可追溯</t>
        </is>
      </c>
      <c r="K19" s="2" t="inlineStr">
        <is>
          <t>中</t>
        </is>
      </c>
    </row>
    <row r="20">
      <c r="A20" s="2" t="inlineStr">
        <is>
          <t>P1-08</t>
        </is>
      </c>
      <c r="B20" s="2" t="inlineStr">
        <is>
          <t>P1</t>
        </is>
      </c>
      <c r="C20" s="2" t="inlineStr">
        <is>
          <t>数据质量</t>
        </is>
      </c>
      <c r="D20" s="2" t="inlineStr">
        <is>
          <t>实现去重、幂等与数据血缘</t>
        </is>
      </c>
      <c r="E20" s="2" t="inlineStr">
        <is>
          <t>待开始</t>
        </is>
      </c>
      <c r="F20" s="2" t="inlineStr">
        <is>
          <t>P1-07</t>
        </is>
      </c>
      <c r="G20" s="2" t="inlineStr">
        <is>
          <t>数据/后端</t>
        </is>
      </c>
      <c r="H20" s="3" t="n">
        <v>3</v>
      </c>
      <c r="I20" s="2" t="inlineStr">
        <is>
          <t>import_batch、source_ref、dedupe_key</t>
        </is>
      </c>
      <c r="J20" s="2" t="inlineStr">
        <is>
          <t>重复导入不重复计数；每条指标可追溯到批次和原始行</t>
        </is>
      </c>
      <c r="K20" s="2" t="inlineStr">
        <is>
          <t>低</t>
        </is>
      </c>
    </row>
    <row r="21">
      <c r="A21" s="2" t="inlineStr">
        <is>
          <t>P1-09</t>
        </is>
      </c>
      <c r="B21" s="2" t="inlineStr">
        <is>
          <t>P1</t>
        </is>
      </c>
      <c r="C21" s="2" t="inlineStr">
        <is>
          <t>洞察</t>
        </is>
      </c>
      <c r="D21" s="2" t="inlineStr">
        <is>
          <t>将导入数据接入报告与趋势 UI</t>
        </is>
      </c>
      <c r="E21" s="2" t="inlineStr">
        <is>
          <t>待开始</t>
        </is>
      </c>
      <c r="F21" s="2" t="inlineStr">
        <is>
          <t>P1-08</t>
        </is>
      </c>
      <c r="G21" s="2" t="inlineStr">
        <is>
          <t>前端/数据</t>
        </is>
      </c>
      <c r="H21" s="3" t="n">
        <v>3</v>
      </c>
      <c r="I21" s="2" t="inlineStr">
        <is>
          <t>平台指标卡、周期对比、数据完整性提示</t>
        </is>
      </c>
      <c r="J21" s="2" t="inlineStr">
        <is>
          <t>缺失/延迟数据明确展示；不生成虚假 ROI</t>
        </is>
      </c>
      <c r="K21" s="2" t="inlineStr">
        <is>
          <t>中</t>
        </is>
      </c>
    </row>
    <row r="22">
      <c r="A22" s="2" t="inlineStr">
        <is>
          <t>P1-10</t>
        </is>
      </c>
      <c r="B22" s="2" t="inlineStr">
        <is>
          <t>P1</t>
        </is>
      </c>
      <c r="C22" s="2" t="inlineStr">
        <is>
          <t>验收</t>
        </is>
      </c>
      <c r="D22" s="2" t="inlineStr">
        <is>
          <t>小红书交接与导入端到端测试</t>
        </is>
      </c>
      <c r="E22" s="2" t="inlineStr">
        <is>
          <t>待开始</t>
        </is>
      </c>
      <c r="F22" s="2" t="inlineStr">
        <is>
          <t>P1-03,P1-07,P1-08</t>
        </is>
      </c>
      <c r="G22" s="2" t="inlineStr">
        <is>
          <t>QA</t>
        </is>
      </c>
      <c r="H22" s="3" t="n">
        <v>3</v>
      </c>
      <c r="I22" s="2" t="inlineStr">
        <is>
          <t>fixture、E2E、用户验收脚本</t>
        </is>
      </c>
      <c r="J22" s="2" t="inlineStr">
        <is>
          <t>交接无自动发布；三类报表导入、重复导入和错误文件均覆盖</t>
        </is>
      </c>
      <c r="K22" s="2" t="inlineStr">
        <is>
          <t>低</t>
        </is>
      </c>
    </row>
    <row r="23">
      <c r="A23" s="2" t="inlineStr">
        <is>
          <t>P2-01</t>
        </is>
      </c>
      <c r="B23" s="2" t="inlineStr">
        <is>
          <t>P2</t>
        </is>
      </c>
      <c r="C23" s="2" t="inlineStr">
        <is>
          <t>公众号直连</t>
        </is>
      </c>
      <c r="D23" s="2" t="inlineStr">
        <is>
          <t>定义 wechat-direct 凭据与账号能力模型</t>
        </is>
      </c>
      <c r="E23" s="2" t="inlineStr">
        <is>
          <t>待开始</t>
        </is>
      </c>
      <c r="F23" s="2" t="inlineStr">
        <is>
          <t>P0-04,P0-06</t>
        </is>
      </c>
      <c r="G23" s="2" t="inlineStr">
        <is>
          <t>架构/安全</t>
        </is>
      </c>
      <c r="H23" s="3" t="n">
        <v>2</v>
      </c>
      <c r="I23" s="2" t="inlineStr">
        <is>
          <t>AppID/AppSecret credential type、账号认证元数据</t>
        </is>
      </c>
      <c r="J23" s="2" t="inlineStr">
        <is>
          <t>Secret 仅在主进程加密 Store；能力由账号类型和认证状态协商</t>
        </is>
      </c>
      <c r="K23" s="2" t="inlineStr">
        <is>
          <t>中</t>
        </is>
      </c>
    </row>
    <row r="24">
      <c r="A24" s="2" t="inlineStr">
        <is>
          <t>P2-02</t>
        </is>
      </c>
      <c r="B24" s="2" t="inlineStr">
        <is>
          <t>P2</t>
        </is>
      </c>
      <c r="C24" s="2" t="inlineStr">
        <is>
          <t>公众号直连</t>
        </is>
      </c>
      <c r="D24" s="2" t="inlineStr">
        <is>
          <t>实现 stable token 获取与刷新</t>
        </is>
      </c>
      <c r="E24" s="2" t="inlineStr">
        <is>
          <t>待开始</t>
        </is>
      </c>
      <c r="F24" s="2" t="inlineStr">
        <is>
          <t>P2-01</t>
        </is>
      </c>
      <c r="G24" s="2" t="inlineStr">
        <is>
          <t>后端</t>
        </is>
      </c>
      <c r="H24" s="3" t="n">
        <v>3</v>
      </c>
      <c r="I24" s="2" t="inlineStr">
        <is>
          <t>Token provider、缓存、过期刷新、错误映射</t>
        </is>
      </c>
      <c r="J24" s="2" t="inlineStr">
        <is>
          <t>并发刷新合并；Token 不落日志；IP 白名单错误可诊断</t>
        </is>
      </c>
      <c r="K24" s="2" t="inlineStr">
        <is>
          <t>中：出口 IP</t>
        </is>
      </c>
    </row>
    <row r="25">
      <c r="A25" s="2" t="inlineStr">
        <is>
          <t>P2-03</t>
        </is>
      </c>
      <c r="B25" s="2" t="inlineStr">
        <is>
          <t>P2</t>
        </is>
      </c>
      <c r="C25" s="2" t="inlineStr">
        <is>
          <t>素材</t>
        </is>
      </c>
      <c r="D25" s="2" t="inlineStr">
        <is>
          <t>实现图片与永久/临时素材上传</t>
        </is>
      </c>
      <c r="E25" s="2" t="inlineStr">
        <is>
          <t>待开始</t>
        </is>
      </c>
      <c r="F25" s="2" t="inlineStr">
        <is>
          <t>P2-02</t>
        </is>
      </c>
      <c r="G25" s="2" t="inlineStr">
        <is>
          <t>后端</t>
        </is>
      </c>
      <c r="H25" s="3" t="n">
        <v>4</v>
      </c>
      <c r="I25" s="2" t="inlineStr">
        <is>
          <t>素材上传 Adapter、内容哈希缓存</t>
        </is>
      </c>
      <c r="J25" s="2" t="inlineStr">
        <is>
          <t>格式/大小预检；重复素材复用；平台 media_id 可追溯</t>
        </is>
      </c>
      <c r="K25" s="2" t="inlineStr">
        <is>
          <t>中：平台限制</t>
        </is>
      </c>
    </row>
    <row r="26">
      <c r="A26" s="2" t="inlineStr">
        <is>
          <t>P2-04</t>
        </is>
      </c>
      <c r="B26" s="2" t="inlineStr">
        <is>
          <t>P2</t>
        </is>
      </c>
      <c r="C26" s="2" t="inlineStr">
        <is>
          <t>草稿</t>
        </is>
      </c>
      <c r="D26" s="2" t="inlineStr">
        <is>
          <t>实现草稿新增、更新、查询和删除</t>
        </is>
      </c>
      <c r="E26" s="2" t="inlineStr">
        <is>
          <t>待开始</t>
        </is>
      </c>
      <c r="F26" s="2" t="inlineStr">
        <is>
          <t>P2-03</t>
        </is>
      </c>
      <c r="G26" s="2" t="inlineStr">
        <is>
          <t>后端</t>
        </is>
      </c>
      <c r="H26" s="3" t="n">
        <v>4</v>
      </c>
      <c r="I26" s="2" t="inlineStr">
        <is>
          <t>draft API Adapter</t>
        </is>
      </c>
      <c r="J26" s="2" t="inlineStr">
        <is>
          <t>本地草稿与 media_id 映射；更新冲突和删除失败可恢复</t>
        </is>
      </c>
      <c r="K26" s="2" t="inlineStr">
        <is>
          <t>中</t>
        </is>
      </c>
    </row>
    <row r="27">
      <c r="A27" s="2" t="inlineStr">
        <is>
          <t>P2-05</t>
        </is>
      </c>
      <c r="B27" s="2" t="inlineStr">
        <is>
          <t>P2</t>
        </is>
      </c>
      <c r="C27" s="2" t="inlineStr">
        <is>
          <t>发布</t>
        </is>
      </c>
      <c r="D27" s="2" t="inlineStr">
        <is>
          <t>实现 freepublish 异步发布状态机</t>
        </is>
      </c>
      <c r="E27" s="2" t="inlineStr">
        <is>
          <t>待开始</t>
        </is>
      </c>
      <c r="F27" s="2" t="inlineStr">
        <is>
          <t>P2-04</t>
        </is>
      </c>
      <c r="G27" s="2" t="inlineStr">
        <is>
          <t>后端</t>
        </is>
      </c>
      <c r="H27" s="3" t="n">
        <v>5</v>
      </c>
      <c r="I27" s="2" t="inlineStr">
        <is>
          <t>提交、查询、回调/轮询、最终状态映射</t>
        </is>
      </c>
      <c r="J27" s="2" t="inlineStr">
        <is>
          <t>提交成功不等于发布成功；保存 publish_id；重复提交幂等</t>
        </is>
      </c>
      <c r="K27" s="2" t="inlineStr">
        <is>
          <t>高：审核结果</t>
        </is>
      </c>
    </row>
    <row r="28">
      <c r="A28" s="2" t="inlineStr">
        <is>
          <t>P2-06</t>
        </is>
      </c>
      <c r="B28" s="2" t="inlineStr">
        <is>
          <t>P2</t>
        </is>
      </c>
      <c r="C28" s="2" t="inlineStr">
        <is>
          <t>审批</t>
        </is>
      </c>
      <c r="D28" s="2" t="inlineStr">
        <is>
          <t>将真实发布接入受控动作审批</t>
        </is>
      </c>
      <c r="E28" s="2" t="inlineStr">
        <is>
          <t>待开始</t>
        </is>
      </c>
      <c r="F28" s="2" t="inlineStr">
        <is>
          <t>P2-05</t>
        </is>
      </c>
      <c r="G28" s="2" t="inlineStr">
        <is>
          <t>安全/后端</t>
        </is>
      </c>
      <c r="H28" s="3" t="n">
        <v>3</v>
      </c>
      <c r="I28" s="2" t="inlineStr">
        <is>
          <t>真实执行器、单次授权、审计回执</t>
        </is>
      </c>
      <c r="J28" s="2" t="inlineStr">
        <is>
          <t>未经审批不可调用 publish；同一审批最多执行一次</t>
        </is>
      </c>
      <c r="K28" s="2" t="inlineStr">
        <is>
          <t>高</t>
        </is>
      </c>
    </row>
    <row r="29">
      <c r="A29" s="2" t="inlineStr">
        <is>
          <t>P2-07</t>
        </is>
      </c>
      <c r="B29" s="2" t="inlineStr">
        <is>
          <t>P2</t>
        </is>
      </c>
      <c r="C29" s="2" t="inlineStr">
        <is>
          <t>数据</t>
        </is>
      </c>
      <c r="D29" s="2" t="inlineStr">
        <is>
          <t>接入用户与图文分析 API</t>
        </is>
      </c>
      <c r="E29" s="2" t="inlineStr">
        <is>
          <t>待开始</t>
        </is>
      </c>
      <c r="F29" s="2" t="inlineStr">
        <is>
          <t>P2-02</t>
        </is>
      </c>
      <c r="G29" s="2" t="inlineStr">
        <is>
          <t>数据/后端</t>
        </is>
      </c>
      <c r="H29" s="3" t="n">
        <v>5</v>
      </c>
      <c r="I29" s="2" t="inlineStr">
        <is>
          <t>用户增减、内容阅读/分享等快照同步</t>
        </is>
      </c>
      <c r="J29" s="2" t="inlineStr">
        <is>
          <t>遵守日期窗口和延迟；新旧统计接口口径分开保存</t>
        </is>
      </c>
      <c r="K29" s="2" t="inlineStr">
        <is>
          <t>中</t>
        </is>
      </c>
    </row>
    <row r="30">
      <c r="A30" s="2" t="inlineStr">
        <is>
          <t>P2-08</t>
        </is>
      </c>
      <c r="B30" s="2" t="inlineStr">
        <is>
          <t>P2</t>
        </is>
      </c>
      <c r="C30" s="2" t="inlineStr">
        <is>
          <t>互动</t>
        </is>
      </c>
      <c r="D30" s="2" t="inlineStr">
        <is>
          <t>接入留言只读同步</t>
        </is>
      </c>
      <c r="E30" s="2" t="inlineStr">
        <is>
          <t>待开始</t>
        </is>
      </c>
      <c r="F30" s="2" t="inlineStr">
        <is>
          <t>P2-02,P2-04</t>
        </is>
      </c>
      <c r="G30" s="2" t="inlineStr">
        <is>
          <t>后端</t>
        </is>
      </c>
      <c r="H30" s="3" t="n">
        <v>3</v>
      </c>
      <c r="I30" s="2" t="inlineStr">
        <is>
          <t>留言拉取、分页、去重</t>
        </is>
      </c>
      <c r="J30" s="2" t="inlineStr">
        <is>
          <t>仅账号拥有留言权限时启用；来源 msg_data_id 可追溯</t>
        </is>
      </c>
      <c r="K30" s="2" t="inlineStr">
        <is>
          <t>中：账号权限</t>
        </is>
      </c>
    </row>
    <row r="31">
      <c r="A31" s="2" t="inlineStr">
        <is>
          <t>P2-09</t>
        </is>
      </c>
      <c r="B31" s="2" t="inlineStr">
        <is>
          <t>P2</t>
        </is>
      </c>
      <c r="C31" s="2" t="inlineStr">
        <is>
          <t>工作台</t>
        </is>
      </c>
      <c r="D31" s="2" t="inlineStr">
        <is>
          <t>实现公众号连接与发布回执 UI</t>
        </is>
      </c>
      <c r="E31" s="2" t="inlineStr">
        <is>
          <t>待开始</t>
        </is>
      </c>
      <c r="F31" s="2" t="inlineStr">
        <is>
          <t>P2-01,P2-05</t>
        </is>
      </c>
      <c r="G31" s="2" t="inlineStr">
        <is>
          <t>前端</t>
        </is>
      </c>
      <c r="H31" s="3" t="n">
        <v>4</v>
      </c>
      <c r="I31" s="2" t="inlineStr">
        <is>
          <t>连接向导、权限矩阵、发布状态时间线</t>
        </is>
      </c>
      <c r="J31" s="2" t="inlineStr">
        <is>
          <t>用户看到主体/认证/权限缺口；失败原因和重试边界明确</t>
        </is>
      </c>
      <c r="K31" s="2" t="inlineStr">
        <is>
          <t>低</t>
        </is>
      </c>
    </row>
    <row r="32">
      <c r="A32" s="2" t="inlineStr">
        <is>
          <t>P2-10</t>
        </is>
      </c>
      <c r="B32" s="2" t="inlineStr">
        <is>
          <t>P2</t>
        </is>
      </c>
      <c r="C32" s="2" t="inlineStr">
        <is>
          <t>验收</t>
        </is>
      </c>
      <c r="D32" s="2" t="inlineStr">
        <is>
          <t>使用自有认证测试号完成真实验收</t>
        </is>
      </c>
      <c r="E32" s="2" t="inlineStr">
        <is>
          <t>需要测试账号</t>
        </is>
      </c>
      <c r="F32" s="2" t="inlineStr">
        <is>
          <t>P2-06,P2-07,P2-08,P2-09</t>
        </is>
      </c>
      <c r="G32" s="2" t="inlineStr">
        <is>
          <t>QA/产品</t>
        </is>
      </c>
      <c r="H32" s="3" t="n">
        <v>4</v>
      </c>
      <c r="I32" s="2" t="inlineStr">
        <is>
          <t>真实 Provider 验收记录</t>
        </is>
      </c>
      <c r="J32" s="2" t="inlineStr">
        <is>
          <t>草稿、发布、状态、统计和留言只读均由官方回执验证；未具备项标 skip</t>
        </is>
      </c>
      <c r="K32" s="2" t="inlineStr">
        <is>
          <t>高：账号与资质</t>
        </is>
      </c>
    </row>
    <row r="33">
      <c r="A33" s="2" t="inlineStr">
        <is>
          <t>P3-01</t>
        </is>
      </c>
      <c r="B33" s="2" t="inlineStr">
        <is>
          <t>P3</t>
        </is>
      </c>
      <c r="C33" s="2" t="inlineStr">
        <is>
          <t>开放平台</t>
        </is>
      </c>
      <c r="D33" s="2" t="inlineStr">
        <is>
          <t>申请平台型第三方平台及全网发布</t>
        </is>
      </c>
      <c r="E33" s="2" t="inlineStr">
        <is>
          <t>外部申请</t>
        </is>
      </c>
      <c r="F33" s="2" t="inlineStr">
        <is>
          <t>P0-10</t>
        </is>
      </c>
      <c r="G33" s="2" t="inlineStr">
        <is>
          <t>产品/法务</t>
        </is>
      </c>
      <c r="H33" s="3" t="n">
        <v>10</v>
      </c>
      <c r="I33" s="2" t="inlineStr">
        <is>
          <t>认证、权限集、测试账号和全网发布审核</t>
        </is>
      </c>
      <c r="J33" s="2" t="inlineStr">
        <is>
          <t>平台审核通过；权限集和隐私政策与产品描述一致</t>
        </is>
      </c>
      <c r="K33" s="2" t="inlineStr">
        <is>
          <t>高：资质/审核</t>
        </is>
      </c>
    </row>
    <row r="34">
      <c r="A34" s="2" t="inlineStr">
        <is>
          <t>P3-02</t>
        </is>
      </c>
      <c r="B34" s="2" t="inlineStr">
        <is>
          <t>P3</t>
        </is>
      </c>
      <c r="C34" s="2" t="inlineStr">
        <is>
          <t>服务端授权</t>
        </is>
      </c>
      <c r="D34" s="2" t="inlineStr">
        <is>
          <t>实现 component_verify_ticket 回调</t>
        </is>
      </c>
      <c r="E34" s="2" t="inlineStr">
        <is>
          <t>待开始</t>
        </is>
      </c>
      <c r="F34" s="2" t="inlineStr">
        <is>
          <t>P3-01</t>
        </is>
      </c>
      <c r="G34" s="2" t="inlineStr">
        <is>
          <t>后端/安全</t>
        </is>
      </c>
      <c r="H34" s="3" t="n">
        <v>4</v>
      </c>
      <c r="I34" s="2" t="inlineStr">
        <is>
          <t>签名验证、消息解密、ticket 存储</t>
        </is>
      </c>
      <c r="J34" s="2" t="inlineStr">
        <is>
          <t>拒绝伪造/重放；密钥不进日志；回调可观测</t>
        </is>
      </c>
      <c r="K34" s="2" t="inlineStr">
        <is>
          <t>高</t>
        </is>
      </c>
    </row>
    <row r="35">
      <c r="A35" s="2" t="inlineStr">
        <is>
          <t>P3-03</t>
        </is>
      </c>
      <c r="B35" s="2" t="inlineStr">
        <is>
          <t>P3</t>
        </is>
      </c>
      <c r="C35" s="2" t="inlineStr">
        <is>
          <t>服务端授权</t>
        </is>
      </c>
      <c r="D35" s="2" t="inlineStr">
        <is>
          <t>实现 component_access_token 生命周期</t>
        </is>
      </c>
      <c r="E35" s="2" t="inlineStr">
        <is>
          <t>待开始</t>
        </is>
      </c>
      <c r="F35" s="2" t="inlineStr">
        <is>
          <t>P3-02</t>
        </is>
      </c>
      <c r="G35" s="2" t="inlineStr">
        <is>
          <t>后端</t>
        </is>
      </c>
      <c r="H35" s="3" t="n">
        <v>3</v>
      </c>
      <c r="I35" s="2" t="inlineStr">
        <is>
          <t>集中 Token manager</t>
        </is>
      </c>
      <c r="J35" s="2" t="inlineStr">
        <is>
          <t>刷新并发合并、加密持久化、多实例一致</t>
        </is>
      </c>
      <c r="K35" s="2" t="inlineStr">
        <is>
          <t>中</t>
        </is>
      </c>
    </row>
    <row r="36">
      <c r="A36" s="2" t="inlineStr">
        <is>
          <t>P3-04</t>
        </is>
      </c>
      <c r="B36" s="2" t="inlineStr">
        <is>
          <t>P3</t>
        </is>
      </c>
      <c r="C36" s="2" t="inlineStr">
        <is>
          <t>商家授权</t>
        </is>
      </c>
      <c r="D36" s="2" t="inlineStr">
        <is>
          <t>实现预授权码与管理员扫码授权</t>
        </is>
      </c>
      <c r="E36" s="2" t="inlineStr">
        <is>
          <t>待开始</t>
        </is>
      </c>
      <c r="F36" s="2" t="inlineStr">
        <is>
          <t>P3-03</t>
        </is>
      </c>
      <c r="G36" s="2" t="inlineStr">
        <is>
          <t>后端/前端</t>
        </is>
      </c>
      <c r="H36" s="3" t="n">
        <v>5</v>
      </c>
      <c r="I36" s="2" t="inlineStr">
        <is>
          <t>授权页、回调、授权账号落库</t>
        </is>
      </c>
      <c r="J36" s="2" t="inlineStr">
        <is>
          <t>state/nonce 校验；不收集管理员密码；取消授权可恢复</t>
        </is>
      </c>
      <c r="K36" s="2" t="inlineStr">
        <is>
          <t>高</t>
        </is>
      </c>
    </row>
    <row r="37">
      <c r="A37" s="2" t="inlineStr">
        <is>
          <t>P3-05</t>
        </is>
      </c>
      <c r="B37" s="2" t="inlineStr">
        <is>
          <t>P3</t>
        </is>
      </c>
      <c r="C37" s="2" t="inlineStr">
        <is>
          <t>商家授权</t>
        </is>
      </c>
      <c r="D37" s="2" t="inlineStr">
        <is>
          <t>实现 authorizer token 刷新与撤权</t>
        </is>
      </c>
      <c r="E37" s="2" t="inlineStr">
        <is>
          <t>待开始</t>
        </is>
      </c>
      <c r="F37" s="2" t="inlineStr">
        <is>
          <t>P3-04</t>
        </is>
      </c>
      <c r="G37" s="2" t="inlineStr">
        <is>
          <t>后端/安全</t>
        </is>
      </c>
      <c r="H37" s="3" t="n">
        <v>4</v>
      </c>
      <c r="I37" s="2" t="inlineStr">
        <is>
          <t>authorizer_access_token 管理器</t>
        </is>
      </c>
      <c r="J37" s="2" t="inlineStr">
        <is>
          <t>按租户隔离；撤权事件立即禁用能力并停止任务</t>
        </is>
      </c>
      <c r="K37" s="2" t="inlineStr">
        <is>
          <t>高</t>
        </is>
      </c>
    </row>
    <row r="38">
      <c r="A38" s="2" t="inlineStr">
        <is>
          <t>P3-06</t>
        </is>
      </c>
      <c r="B38" s="2" t="inlineStr">
        <is>
          <t>P3</t>
        </is>
      </c>
      <c r="C38" s="2" t="inlineStr">
        <is>
          <t>能力协商</t>
        </is>
      </c>
      <c r="D38" s="2" t="inlineStr">
        <is>
          <t>按权限集动态生成 Adapter capability</t>
        </is>
      </c>
      <c r="E38" s="2" t="inlineStr">
        <is>
          <t>待开始</t>
        </is>
      </c>
      <c r="F38" s="2" t="inlineStr">
        <is>
          <t>P3-05</t>
        </is>
      </c>
      <c r="G38" s="2" t="inlineStr">
        <is>
          <t>架构/后端</t>
        </is>
      </c>
      <c r="H38" s="3" t="n">
        <v>3</v>
      </c>
      <c r="I38" s="2" t="inlineStr">
        <is>
          <t>权限集→能力矩阵</t>
        </is>
      </c>
      <c r="J38" s="2" t="inlineStr">
        <is>
          <t>未授权权限不显示、不调用；互斥权限有显著提示</t>
        </is>
      </c>
      <c r="K38" s="2" t="inlineStr">
        <is>
          <t>中</t>
        </is>
      </c>
    </row>
    <row r="39">
      <c r="A39" s="2" t="inlineStr">
        <is>
          <t>P3-07</t>
        </is>
      </c>
      <c r="B39" s="2" t="inlineStr">
        <is>
          <t>P3</t>
        </is>
      </c>
      <c r="C39" s="2" t="inlineStr">
        <is>
          <t>多租户</t>
        </is>
      </c>
      <c r="D39" s="2" t="inlineStr">
        <is>
          <t>隔离账号、Token、任务、审计和回调</t>
        </is>
      </c>
      <c r="E39" s="2" t="inlineStr">
        <is>
          <t>待开始</t>
        </is>
      </c>
      <c r="F39" s="2" t="inlineStr">
        <is>
          <t>P3-05</t>
        </is>
      </c>
      <c r="G39" s="2" t="inlineStr">
        <is>
          <t>后端/安全</t>
        </is>
      </c>
      <c r="H39" s="3" t="n">
        <v>5</v>
      </c>
      <c r="I39" s="2" t="inlineStr">
        <is>
          <t>tenant boundary 与访问控制测试</t>
        </is>
      </c>
      <c r="J39" s="2" t="inlineStr">
        <is>
          <t>跨租户 ID、Token、回调和报表均不可访问</t>
        </is>
      </c>
      <c r="K39" s="2" t="inlineStr">
        <is>
          <t>高</t>
        </is>
      </c>
    </row>
    <row r="40">
      <c r="A40" s="2" t="inlineStr">
        <is>
          <t>P3-08</t>
        </is>
      </c>
      <c r="B40" s="2" t="inlineStr">
        <is>
          <t>P3</t>
        </is>
      </c>
      <c r="C40" s="2" t="inlineStr">
        <is>
          <t>迁移</t>
        </is>
      </c>
      <c r="D40" s="2" t="inlineStr">
        <is>
          <t>支持 wechat-direct 迁移至开放平台授权</t>
        </is>
      </c>
      <c r="E40" s="2" t="inlineStr">
        <is>
          <t>待开始</t>
        </is>
      </c>
      <c r="F40" s="2" t="inlineStr">
        <is>
          <t>P3-04,P2-10</t>
        </is>
      </c>
      <c r="G40" s="2" t="inlineStr">
        <is>
          <t>后端/产品</t>
        </is>
      </c>
      <c r="H40" s="3" t="n">
        <v>3</v>
      </c>
      <c r="I40" s="2" t="inlineStr">
        <is>
          <t>迁移向导和数据绑定规则</t>
        </is>
      </c>
      <c r="J40" s="2" t="inlineStr">
        <is>
          <t>历史草稿/指标保留；旧 Secret 可安全删除；不可静默换绑</t>
        </is>
      </c>
      <c r="K40" s="2" t="inlineStr">
        <is>
          <t>中</t>
        </is>
      </c>
    </row>
    <row r="41">
      <c r="A41" s="2" t="inlineStr">
        <is>
          <t>P3-09</t>
        </is>
      </c>
      <c r="B41" s="2" t="inlineStr">
        <is>
          <t>P3</t>
        </is>
      </c>
      <c r="C41" s="2" t="inlineStr">
        <is>
          <t>可靠性</t>
        </is>
      </c>
      <c r="D41" s="2" t="inlineStr">
        <is>
          <t>建立回调重放、轮询兜底与补偿队列</t>
        </is>
      </c>
      <c r="E41" s="2" t="inlineStr">
        <is>
          <t>待开始</t>
        </is>
      </c>
      <c r="F41" s="2" t="inlineStr">
        <is>
          <t>P3-02,P3-05</t>
        </is>
      </c>
      <c r="G41" s="2" t="inlineStr">
        <is>
          <t>后端/DevOps</t>
        </is>
      </c>
      <c r="H41" s="3" t="n">
        <v>5</v>
      </c>
      <c r="I41" s="2" t="inlineStr">
        <is>
          <t>事件 inbox、幂等消费、dead-letter</t>
        </is>
      </c>
      <c r="J41" s="2" t="inlineStr">
        <is>
          <t>重复回调不重复执行；丢回调可由轮询恢复；失败可人工重放</t>
        </is>
      </c>
      <c r="K41" s="2" t="inlineStr">
        <is>
          <t>高</t>
        </is>
      </c>
    </row>
    <row r="42">
      <c r="A42" s="2" t="inlineStr">
        <is>
          <t>P3-10</t>
        </is>
      </c>
      <c r="B42" s="2" t="inlineStr">
        <is>
          <t>P3</t>
        </is>
      </c>
      <c r="C42" s="2" t="inlineStr">
        <is>
          <t>验收</t>
        </is>
      </c>
      <c r="D42" s="2" t="inlineStr">
        <is>
          <t>完成第三方平台测试/全网发布验收矩阵</t>
        </is>
      </c>
      <c r="E42" s="2" t="inlineStr">
        <is>
          <t>等待外部权限</t>
        </is>
      </c>
      <c r="F42" s="2" t="inlineStr">
        <is>
          <t>P3-01,P3-06,P3-09</t>
        </is>
      </c>
      <c r="G42" s="2" t="inlineStr">
        <is>
          <t>QA/产品</t>
        </is>
      </c>
      <c r="H42" s="3" t="n">
        <v>5</v>
      </c>
      <c r="I42" s="2" t="inlineStr">
        <is>
          <t>测试账号矩阵、平台审核证据</t>
        </is>
      </c>
      <c r="J42" s="2" t="inlineStr">
        <is>
          <t>不同账号类型/权限集至少各一例；真实能力和 skip 项分开报告</t>
        </is>
      </c>
      <c r="K42" s="2" t="inlineStr">
        <is>
          <t>高</t>
        </is>
      </c>
    </row>
    <row r="43">
      <c r="A43" s="2" t="inlineStr">
        <is>
          <t>P4-01</t>
        </is>
      </c>
      <c r="B43" s="2" t="inlineStr">
        <is>
          <t>P4</t>
        </is>
      </c>
      <c r="C43" s="2" t="inlineStr">
        <is>
          <t>小红书商业</t>
        </is>
      </c>
      <c r="D43" s="2" t="inlineStr">
        <is>
          <t>设计商业 Adapter capability gating</t>
        </is>
      </c>
      <c r="E43" s="2" t="inlineStr">
        <is>
          <t>待开始</t>
        </is>
      </c>
      <c r="F43" s="2" t="inlineStr">
        <is>
          <t>P1-10</t>
        </is>
      </c>
      <c r="G43" s="2" t="inlineStr">
        <is>
          <t>架构/产品</t>
        </is>
      </c>
      <c r="H43" s="3" t="n">
        <v>3</v>
      </c>
      <c r="I43" s="2" t="inlineStr">
        <is>
          <t>commercial adapter 契约与授权证明字段</t>
        </is>
      </c>
      <c r="J43" s="2" t="inlineStr">
        <is>
          <t>无 scope/白名单证明时能力保持 disabled</t>
        </is>
      </c>
      <c r="K43" s="2" t="inlineStr">
        <is>
          <t>高：商务权限</t>
        </is>
      </c>
    </row>
    <row r="44">
      <c r="A44" s="2" t="inlineStr">
        <is>
          <t>P4-02</t>
        </is>
      </c>
      <c r="B44" s="2" t="inlineStr">
        <is>
          <t>P4</t>
        </is>
      </c>
      <c r="C44" s="2" t="inlineStr">
        <is>
          <t>小红书商业</t>
        </is>
      </c>
      <c r="D44" s="2" t="inlineStr">
        <is>
          <t>接入蒲公英合作与投后数据</t>
        </is>
      </c>
      <c r="E44" s="2" t="inlineStr">
        <is>
          <t>等待商务授权</t>
        </is>
      </c>
      <c r="F44" s="2" t="inlineStr">
        <is>
          <t>P4-01</t>
        </is>
      </c>
      <c r="G44" s="2" t="inlineStr">
        <is>
          <t>后端/数据</t>
        </is>
      </c>
      <c r="H44" s="3" t="n">
        <v>6</v>
      </c>
      <c r="I44" s="2" t="inlineStr">
        <is>
          <t>合作订单、报价、投后笔记指标同步</t>
        </is>
      </c>
      <c r="J44" s="2" t="inlineStr">
        <is>
          <t>仅同步授权品牌/订单；不扩展到任意博主或笔记</t>
        </is>
      </c>
      <c r="K44" s="2" t="inlineStr">
        <is>
          <t>高</t>
        </is>
      </c>
    </row>
    <row r="45">
      <c r="A45" s="2" t="inlineStr">
        <is>
          <t>P4-03</t>
        </is>
      </c>
      <c r="B45" s="2" t="inlineStr">
        <is>
          <t>P4</t>
        </is>
      </c>
      <c r="C45" s="2" t="inlineStr">
        <is>
          <t>小红书商业</t>
        </is>
      </c>
      <c r="D45" s="2" t="inlineStr">
        <is>
          <t>接入聚光广告数据与广告评论</t>
        </is>
      </c>
      <c r="E45" s="2" t="inlineStr">
        <is>
          <t>等待白名单</t>
        </is>
      </c>
      <c r="F45" s="2" t="inlineStr">
        <is>
          <t>P4-01</t>
        </is>
      </c>
      <c r="G45" s="2" t="inlineStr">
        <is>
          <t>后端/数据</t>
        </is>
      </c>
      <c r="H45" s="3" t="n">
        <v>6</v>
      </c>
      <c r="I45" s="2" t="inlineStr">
        <is>
          <t>广告指标、广告评论只读</t>
        </is>
      </c>
      <c r="J45" s="2" t="inlineStr">
        <is>
          <t>广告能力与普通笔记能力严格分离；白名单到期自动禁用</t>
        </is>
      </c>
      <c r="K45" s="2" t="inlineStr">
        <is>
          <t>高</t>
        </is>
      </c>
    </row>
    <row r="46">
      <c r="A46" s="2" t="inlineStr">
        <is>
          <t>P4-04</t>
        </is>
      </c>
      <c r="B46" s="2" t="inlineStr">
        <is>
          <t>P4</t>
        </is>
      </c>
      <c r="C46" s="2" t="inlineStr">
        <is>
          <t>互动</t>
        </is>
      </c>
      <c r="D46" s="2" t="inlineStr">
        <is>
          <t>公众号留言回复与客服消息审批流</t>
        </is>
      </c>
      <c r="E46" s="2" t="inlineStr">
        <is>
          <t>待开始</t>
        </is>
      </c>
      <c r="F46" s="2" t="inlineStr">
        <is>
          <t>P2-08,P3-06</t>
        </is>
      </c>
      <c r="G46" s="2" t="inlineStr">
        <is>
          <t>后端/前端</t>
        </is>
      </c>
      <c r="H46" s="3" t="n">
        <v>5</v>
      </c>
      <c r="I46" s="2" t="inlineStr">
        <is>
          <t>回复草稿、48 小时窗口校验、真实回执</t>
        </is>
      </c>
      <c r="J46" s="2" t="inlineStr">
        <is>
          <t>超时/频控/无权限时拒绝；每次发送人工审批且幂等</t>
        </is>
      </c>
      <c r="K46" s="2" t="inlineStr">
        <is>
          <t>高</t>
        </is>
      </c>
    </row>
    <row r="47">
      <c r="A47" s="2" t="inlineStr">
        <is>
          <t>P4-05</t>
        </is>
      </c>
      <c r="B47" s="2" t="inlineStr">
        <is>
          <t>P4</t>
        </is>
      </c>
      <c r="C47" s="2" t="inlineStr">
        <is>
          <t>私信</t>
        </is>
      </c>
      <c r="D47" s="2" t="inlineStr">
        <is>
          <t>评估并接入小红书私信三方能力</t>
        </is>
      </c>
      <c r="E47" s="2" t="inlineStr">
        <is>
          <t>等待资质</t>
        </is>
      </c>
      <c r="F47" s="2" t="inlineStr">
        <is>
          <t>P4-01</t>
        </is>
      </c>
      <c r="G47" s="2" t="inlineStr">
        <is>
          <t>产品/法务/后端</t>
        </is>
      </c>
      <c r="H47" s="3" t="n">
        <v>8</v>
      </c>
      <c r="I47" s="2" t="inlineStr">
        <is>
          <t>资质材料、Adapter、合规审计</t>
        </is>
      </c>
      <c r="J47" s="2" t="inlineStr">
        <is>
          <t>满足客户数、等保/ICP等平台条件并书面获批后才上线</t>
        </is>
      </c>
      <c r="K47" s="2" t="inlineStr">
        <is>
          <t>极高</t>
        </is>
      </c>
    </row>
    <row r="48">
      <c r="A48" s="2" t="inlineStr">
        <is>
          <t>P4-06</t>
        </is>
      </c>
      <c r="B48" s="2" t="inlineStr">
        <is>
          <t>P4</t>
        </is>
      </c>
      <c r="C48" s="2" t="inlineStr">
        <is>
          <t>社交聆听</t>
        </is>
      </c>
      <c r="D48" s="2" t="inlineStr">
        <is>
          <t>选择有授权的数据服务商并签订数据范围</t>
        </is>
      </c>
      <c r="E48" s="2" t="inlineStr">
        <is>
          <t>外部选型</t>
        </is>
      </c>
      <c r="F48" s="2" t="inlineStr">
        <is>
          <t>P0-10</t>
        </is>
      </c>
      <c r="G48" s="2" t="inlineStr">
        <is>
          <t>采购/法务/数据</t>
        </is>
      </c>
      <c r="H48" s="3" t="n">
        <v>8</v>
      </c>
      <c r="I48" s="2" t="inlineStr">
        <is>
          <t>供应商评估、DPA、字段/留存边界</t>
        </is>
      </c>
      <c r="J48" s="2" t="inlineStr">
        <is>
          <t>供应商能证明小红书数据权利；删除/留存/再处理边界明确</t>
        </is>
      </c>
      <c r="K48" s="2" t="inlineStr">
        <is>
          <t>极高</t>
        </is>
      </c>
    </row>
    <row r="49">
      <c r="A49" s="2" t="inlineStr">
        <is>
          <t>P4-07</t>
        </is>
      </c>
      <c r="B49" s="2" t="inlineStr">
        <is>
          <t>P4</t>
        </is>
      </c>
      <c r="C49" s="2" t="inlineStr">
        <is>
          <t>社交聆听</t>
        </is>
      </c>
      <c r="D49" s="2" t="inlineStr">
        <is>
          <t>实现 LicensedDataProvider Adapter</t>
        </is>
      </c>
      <c r="E49" s="2" t="inlineStr">
        <is>
          <t>等待供应商</t>
        </is>
      </c>
      <c r="F49" s="2" t="inlineStr">
        <is>
          <t>P4-06</t>
        </is>
      </c>
      <c r="G49" s="2" t="inlineStr">
        <is>
          <t>后端/数据</t>
        </is>
      </c>
      <c r="H49" s="3" t="n">
        <v>6</v>
      </c>
      <c r="I49" s="2" t="inlineStr">
        <is>
          <t>提及、热点、来源引用和删除同步</t>
        </is>
      </c>
      <c r="J49" s="2" t="inlineStr">
        <is>
          <t>每条数据含许可来源和保留期限；撤权可批量删除</t>
        </is>
      </c>
      <c r="K49" s="2" t="inlineStr">
        <is>
          <t>高</t>
        </is>
      </c>
    </row>
    <row r="50">
      <c r="A50" s="2" t="inlineStr">
        <is>
          <t>P4-08</t>
        </is>
      </c>
      <c r="B50" s="2" t="inlineStr">
        <is>
          <t>P4</t>
        </is>
      </c>
      <c r="C50" s="2" t="inlineStr">
        <is>
          <t>合规</t>
        </is>
      </c>
      <c r="D50" s="2" t="inlineStr">
        <is>
          <t>实现 nm-compliance-guard</t>
        </is>
      </c>
      <c r="E50" s="2" t="inlineStr">
        <is>
          <t>待开始</t>
        </is>
      </c>
      <c r="F50" s="2" t="inlineStr">
        <is>
          <t>P1-03,P2-06</t>
        </is>
      </c>
      <c r="G50" s="2" t="inlineStr">
        <is>
          <t>产品/法务/Agent</t>
        </is>
      </c>
      <c r="H50" s="3" t="n">
        <v>5</v>
      </c>
      <c r="I50" s="2" t="inlineStr">
        <is>
          <t>广告法、平台规则、版权与危机升级规则</t>
        </is>
      </c>
      <c r="J50" s="2" t="inlineStr">
        <is>
          <t>高风险只给修改建议并升级人工；不自动判定法律合规</t>
        </is>
      </c>
      <c r="K50" s="2" t="inlineStr">
        <is>
          <t>高：规则维护</t>
        </is>
      </c>
    </row>
    <row r="51">
      <c r="A51" s="2" t="inlineStr">
        <is>
          <t>P4-09</t>
        </is>
      </c>
      <c r="B51" s="2" t="inlineStr">
        <is>
          <t>P4</t>
        </is>
      </c>
      <c r="C51" s="2" t="inlineStr">
        <is>
          <t>AIGC</t>
        </is>
      </c>
      <c r="D51" s="2" t="inlineStr">
        <is>
          <t>建立素材来源、授权和 AIGC 标识链</t>
        </is>
      </c>
      <c r="E51" s="2" t="inlineStr">
        <is>
          <t>待开始</t>
        </is>
      </c>
      <c r="F51" s="2" t="inlineStr">
        <is>
          <t>P1-02,P4-08</t>
        </is>
      </c>
      <c r="G51" s="2" t="inlineStr">
        <is>
          <t>后端/产品</t>
        </is>
      </c>
      <c r="H51" s="3" t="n">
        <v>4</v>
      </c>
      <c r="I51" s="2" t="inlineStr">
        <is>
          <t>asset provenance、许可记录、生成模型元数据</t>
        </is>
      </c>
      <c r="J51" s="2" t="inlineStr">
        <is>
          <t>每个外发素材可追溯来源；缺许可禁止进入发布审批</t>
        </is>
      </c>
      <c r="K51" s="2" t="inlineStr">
        <is>
          <t>高</t>
        </is>
      </c>
    </row>
    <row r="52">
      <c r="A52" s="2" t="inlineStr">
        <is>
          <t>P4-10</t>
        </is>
      </c>
      <c r="B52" s="2" t="inlineStr">
        <is>
          <t>P4</t>
        </is>
      </c>
      <c r="C52" s="2" t="inlineStr">
        <is>
          <t>自动化</t>
        </is>
      </c>
      <c r="D52" s="2" t="inlineStr">
        <is>
          <t>接入 scheduler 生成待审批动作</t>
        </is>
      </c>
      <c r="E52" s="2" t="inlineStr">
        <is>
          <t>待开始</t>
        </is>
      </c>
      <c r="F52" s="2" t="inlineStr">
        <is>
          <t>P2-06,P3-09</t>
        </is>
      </c>
      <c r="G52" s="2" t="inlineStr">
        <is>
          <t>后端</t>
        </is>
      </c>
      <c r="H52" s="3" t="n">
        <v>4</v>
      </c>
      <c r="I52" s="2" t="inlineStr">
        <is>
          <t>排程、失败策略、审批队列</t>
        </is>
      </c>
      <c r="J52" s="2" t="inlineStr">
        <is>
          <t>自动化只创建待审批动作；无预授权不得外发；失败不补发风暴</t>
        </is>
      </c>
      <c r="K52" s="2" t="inlineStr">
        <is>
          <t>中</t>
        </is>
      </c>
    </row>
    <row r="53">
      <c r="A53" s="2" t="inlineStr">
        <is>
          <t>P4-11</t>
        </is>
      </c>
      <c r="B53" s="2" t="inlineStr">
        <is>
          <t>P4</t>
        </is>
      </c>
      <c r="C53" s="2" t="inlineStr">
        <is>
          <t>运营保障</t>
        </is>
      </c>
      <c r="D53" s="2" t="inlineStr">
        <is>
          <t>建立 SLO、告警、成本和配额治理</t>
        </is>
      </c>
      <c r="E53" s="2" t="inlineStr">
        <is>
          <t>待开始</t>
        </is>
      </c>
      <c r="F53" s="2" t="inlineStr">
        <is>
          <t>P3-09,P4-07</t>
        </is>
      </c>
      <c r="G53" s="2" t="inlineStr">
        <is>
          <t>DevOps/后端</t>
        </is>
      </c>
      <c r="H53" s="3" t="n">
        <v>5</v>
      </c>
      <c r="I53" s="2" t="inlineStr">
        <is>
          <t>连接健康、Token、回调、发布、数据延迟指标</t>
        </is>
      </c>
      <c r="J53" s="2" t="inlineStr">
        <is>
          <t>平台级 SLO 可见；异常不会泄露正文/凭据；配额耗尽提前告警</t>
        </is>
      </c>
      <c r="K53" s="2" t="inlineStr">
        <is>
          <t>中</t>
        </is>
      </c>
    </row>
    <row r="54">
      <c r="A54" s="2" t="inlineStr">
        <is>
          <t>P4-12</t>
        </is>
      </c>
      <c r="B54" s="2" t="inlineStr">
        <is>
          <t>P4</t>
        </is>
      </c>
      <c r="C54" s="2" t="inlineStr">
        <is>
          <t>数据保障</t>
        </is>
      </c>
      <c r="D54" s="2" t="inlineStr">
        <is>
          <t>完成备份恢复、审计留存与删除演练</t>
        </is>
      </c>
      <c r="E54" s="2" t="inlineStr">
        <is>
          <t>待开始</t>
        </is>
      </c>
      <c r="F54" s="2" t="inlineStr">
        <is>
          <t>P3-07,P4-09</t>
        </is>
      </c>
      <c r="G54" s="2" t="inlineStr">
        <is>
          <t>安全/DevOps</t>
        </is>
      </c>
      <c r="H54" s="3" t="n">
        <v>4</v>
      </c>
      <c r="I54" s="2" t="inlineStr">
        <is>
          <t>备份边界、恢复脚本、数据删除流程</t>
        </is>
      </c>
      <c r="J54" s="2" t="inlineStr">
        <is>
          <t>恢复演练通过；租户删除覆盖 DB、Secret、附件和索引</t>
        </is>
      </c>
      <c r="K54" s="2" t="inlineStr">
        <is>
          <t>高</t>
        </is>
      </c>
    </row>
    <row r="55">
      <c r="A55" s="2" t="inlineStr">
        <is>
          <t>P4-13</t>
        </is>
      </c>
      <c r="B55" s="2" t="inlineStr">
        <is>
          <t>P4</t>
        </is>
      </c>
      <c r="C55" s="2" t="inlineStr">
        <is>
          <t>发布</t>
        </is>
      </c>
      <c r="D55" s="2" t="inlineStr">
        <is>
          <t>灰度发布与能力回滚</t>
        </is>
      </c>
      <c r="E55" s="2" t="inlineStr">
        <is>
          <t>待开始</t>
        </is>
      </c>
      <c r="F55" s="2" t="inlineStr">
        <is>
          <t>P4-08,P4-10,P4-11,P4-12</t>
        </is>
      </c>
      <c r="G55" s="2" t="inlineStr">
        <is>
          <t>产品/QA/DevOps</t>
        </is>
      </c>
      <c r="H55" s="3" t="n">
        <v>5</v>
      </c>
      <c r="I55" s="2" t="inlineStr">
        <is>
          <t>feature flag、灰度名单、回滚手册</t>
        </is>
      </c>
      <c r="J55" s="2" t="inlineStr">
        <is>
          <t>按平台/租户关闭能力；不删除历史审计；故障可在目标时间内回滚</t>
        </is>
      </c>
      <c r="K55" s="2" t="inlineStr">
        <is>
          <t>中</t>
        </is>
      </c>
    </row>
  </sheetData>
  <autoFilter ref="A1:K55"/>
  <conditionalFormatting sqref="A2:K55">
    <cfRule type="expression" priority="1" dxfId="0">
      <formula>OR($E2="已完成")</formula>
    </cfRule>
    <cfRule type="expression" priority="2" dxfId="1">
      <formula>OR($E2="已实现待提交")</formula>
    </cfRule>
    <cfRule type="expression" priority="3" dxfId="2">
      <formula>OR($E2="部分完成",$E2="待开始")</formula>
    </cfRule>
    <cfRule type="expression" priority="4" dxfId="3">
      <formula>OR($E2="外部申请",$E2="需要测试账号",$E2="等待外部权限",$E2="等待商务授权",$E2="等待白名单",$E2="等待资质",$E2="外部选型",$E2="等待供应商")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4" customWidth="1" min="4" max="4"/>
    <col width="17" customWidth="1" min="5" max="5"/>
    <col width="14" customWidth="1" min="6" max="6"/>
    <col width="58" customWidth="1" min="7" max="7"/>
  </cols>
  <sheetData>
    <row r="1">
      <c r="A1" s="4" t="inlineStr">
        <is>
          <t>优先级</t>
        </is>
      </c>
      <c r="B1" s="4" t="inlineStr">
        <is>
          <t>阶段目标</t>
        </is>
      </c>
      <c r="C1" s="4" t="inlineStr">
        <is>
          <t>任务数</t>
        </is>
      </c>
      <c r="D1" s="4" t="inlineStr">
        <is>
          <t>估算人日</t>
        </is>
      </c>
      <c r="E1" s="4" t="inlineStr">
        <is>
          <t>已完成/已实现</t>
        </is>
      </c>
      <c r="F1" s="4" t="inlineStr">
        <is>
          <t>外部阻塞</t>
        </is>
      </c>
      <c r="G1" s="4" t="inlineStr">
        <is>
          <t>阶段出口</t>
        </is>
      </c>
    </row>
    <row r="2">
      <c r="A2" s="5" t="inlineStr">
        <is>
          <t>P0</t>
        </is>
      </c>
      <c r="B2" s="5" t="inlineStr">
        <is>
          <t>安全、持久化、Adapter 与账号授权基础</t>
        </is>
      </c>
      <c r="C2" s="5">
        <f>COUNTIF('Task台账'!$B:$B,A2)</f>
        <v/>
      </c>
      <c r="D2" s="5">
        <f>SUMIF('Task台账'!$B:$B,A2,'Task台账'!$H:$H)</f>
        <v/>
      </c>
      <c r="E2" s="5">
        <f>COUNTIFS('Task台账'!$B:$B,A2,'Task台账'!$E:$E,"已完成")+COUNTIFS('Task台账'!$B:$B,A2,'Task台账'!$E:$E,"已实现待提交")</f>
        <v/>
      </c>
      <c r="F2" s="5">
        <f>COUNTIFS('Task台账'!$B:$B,A2,'Task台账'!$E:$E,"外部申请")+COUNTIFS('Task台账'!$B:$B,A2,'Task台账'!$E:$E,"等待外部权限")+COUNTIFS('Task台账'!$B:$B,A2,'Task台账'!$E:$E,"等待商务授权")+COUNTIFS('Task台账'!$B:$B,A2,'Task台账'!$E:$E,"等待白名单")+COUNTIFS('Task台账'!$B:$B,A2,'Task台账'!$E:$E,"等待资质")+COUNTIFS('Task台账'!$B:$B,A2,'Task台账'!$E:$E,"等待供应商")</f>
        <v/>
      </c>
      <c r="G2" s="5" t="inlineStr">
        <is>
          <t>完成安全门禁，可承载真实连接器而不泄密或越权</t>
        </is>
      </c>
    </row>
    <row r="3">
      <c r="A3" s="5" t="inlineStr">
        <is>
          <t>P1</t>
        </is>
      </c>
      <c r="B3" s="5" t="inlineStr">
        <is>
          <t>小红书合法发布交接与官方报表导入</t>
        </is>
      </c>
      <c r="C3" s="5">
        <f>COUNTIF('Task台账'!$B:$B,A3)</f>
        <v/>
      </c>
      <c r="D3" s="5">
        <f>SUMIF('Task台账'!$B:$B,A3,'Task台账'!$H:$H)</f>
        <v/>
      </c>
      <c r="E3" s="5">
        <f>COUNTIFS('Task台账'!$B:$B,A3,'Task台账'!$E:$E,"已完成")+COUNTIFS('Task台账'!$B:$B,A3,'Task台账'!$E:$E,"已实现待提交")</f>
        <v/>
      </c>
      <c r="F3" s="5">
        <f>COUNTIFS('Task台账'!$B:$B,A3,'Task台账'!$E:$E,"外部申请")+COUNTIFS('Task台账'!$B:$B,A3,'Task台账'!$E:$E,"等待外部权限")+COUNTIFS('Task台账'!$B:$B,A3,'Task台账'!$E:$E,"等待商务授权")+COUNTIFS('Task台账'!$B:$B,A3,'Task台账'!$E:$E,"等待白名单")+COUNTIFS('Task台账'!$B:$B,A3,'Task台账'!$E:$E,"等待资质")+COUNTIFS('Task台账'!$B:$B,A3,'Task台账'!$E:$E,"等待供应商")</f>
        <v/>
      </c>
      <c r="G3" s="5" t="inlineStr">
        <is>
          <t>无自动发布；交接可审计；官方报表可幂等导入</t>
        </is>
      </c>
    </row>
    <row r="4">
      <c r="A4" s="5" t="inlineStr">
        <is>
          <t>P2</t>
        </is>
      </c>
      <c r="B4" s="5" t="inlineStr">
        <is>
          <t>公众号自有账号 direct 官方 API MVP</t>
        </is>
      </c>
      <c r="C4" s="5">
        <f>COUNTIF('Task台账'!$B:$B,A4)</f>
        <v/>
      </c>
      <c r="D4" s="5">
        <f>SUMIF('Task台账'!$B:$B,A4,'Task台账'!$H:$H)</f>
        <v/>
      </c>
      <c r="E4" s="5">
        <f>COUNTIFS('Task台账'!$B:$B,A4,'Task台账'!$E:$E,"已完成")+COUNTIFS('Task台账'!$B:$B,A4,'Task台账'!$E:$E,"已实现待提交")</f>
        <v/>
      </c>
      <c r="F4" s="5">
        <f>COUNTIFS('Task台账'!$B:$B,A4,'Task台账'!$E:$E,"外部申请")+COUNTIFS('Task台账'!$B:$B,A4,'Task台账'!$E:$E,"等待外部权限")+COUNTIFS('Task台账'!$B:$B,A4,'Task台账'!$E:$E,"等待商务授权")+COUNTIFS('Task台账'!$B:$B,A4,'Task台账'!$E:$E,"等待白名单")+COUNTIFS('Task台账'!$B:$B,A4,'Task台账'!$E:$E,"等待资质")+COUNTIFS('Task台账'!$B:$B,A4,'Task台账'!$E:$E,"等待供应商")</f>
        <v/>
      </c>
      <c r="G4" s="5" t="inlineStr">
        <is>
          <t>真实测试号完成草稿、发布回执、统计和留言只读</t>
        </is>
      </c>
    </row>
    <row r="5">
      <c r="A5" s="5" t="inlineStr">
        <is>
          <t>P3</t>
        </is>
      </c>
      <c r="B5" s="5" t="inlineStr">
        <is>
          <t>微信开放平台多租户生产授权</t>
        </is>
      </c>
      <c r="C5" s="5">
        <f>COUNTIF('Task台账'!$B:$B,A5)</f>
        <v/>
      </c>
      <c r="D5" s="5">
        <f>SUMIF('Task台账'!$B:$B,A5,'Task台账'!$H:$H)</f>
        <v/>
      </c>
      <c r="E5" s="5">
        <f>COUNTIFS('Task台账'!$B:$B,A5,'Task台账'!$E:$E,"已完成")+COUNTIFS('Task台账'!$B:$B,A5,'Task台账'!$E:$E,"已实现待提交")</f>
        <v/>
      </c>
      <c r="F5" s="5">
        <f>COUNTIFS('Task台账'!$B:$B,A5,'Task台账'!$E:$E,"外部申请")+COUNTIFS('Task台账'!$B:$B,A5,'Task台账'!$E:$E,"等待外部权限")+COUNTIFS('Task台账'!$B:$B,A5,'Task台账'!$E:$E,"等待商务授权")+COUNTIFS('Task台账'!$B:$B,A5,'Task台账'!$E:$E,"等待白名单")+COUNTIFS('Task台账'!$B:$B,A5,'Task台账'!$E:$E,"等待资质")+COUNTIFS('Task台账'!$B:$B,A5,'Task台账'!$E:$E,"等待供应商")</f>
        <v/>
      </c>
      <c r="G5" s="5" t="inlineStr">
        <is>
          <t>通过全网发布，多租户授权、回调和 Token 生命周期可用</t>
        </is>
      </c>
    </row>
    <row r="6">
      <c r="A6" s="5" t="inlineStr">
        <is>
          <t>P4</t>
        </is>
      </c>
      <c r="B6" s="5" t="inlineStr">
        <is>
          <t>商业数据、互动、合规与生产运营</t>
        </is>
      </c>
      <c r="C6" s="5">
        <f>COUNTIF('Task台账'!$B:$B,A6)</f>
        <v/>
      </c>
      <c r="D6" s="5">
        <f>SUMIF('Task台账'!$B:$B,A6,'Task台账'!$H:$H)</f>
        <v/>
      </c>
      <c r="E6" s="5">
        <f>COUNTIFS('Task台账'!$B:$B,A6,'Task台账'!$E:$E,"已完成")+COUNTIFS('Task台账'!$B:$B,A6,'Task台账'!$E:$E,"已实现待提交")</f>
        <v/>
      </c>
      <c r="F6" s="5">
        <f>COUNTIFS('Task台账'!$B:$B,A6,'Task台账'!$E:$E,"外部申请")+COUNTIFS('Task台账'!$B:$B,A6,'Task台账'!$E:$E,"等待外部权限")+COUNTIFS('Task台账'!$B:$B,A6,'Task台账'!$E:$E,"等待商务授权")+COUNTIFS('Task台账'!$B:$B,A6,'Task台账'!$E:$E,"等待白名单")+COUNTIFS('Task台账'!$B:$B,A6,'Task台账'!$E:$E,"等待资质")+COUNTIFS('Task台账'!$B:$B,A6,'Task台账'!$E:$E,"等待供应商")</f>
        <v/>
      </c>
      <c r="G6" s="5" t="inlineStr">
        <is>
          <t>获得书面授权的能力灰度上线，SLO/删除/回滚演练通过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字段</t>
        </is>
      </c>
      <c r="B1" s="4" t="inlineStr">
        <is>
          <t>说明</t>
        </is>
      </c>
    </row>
    <row r="2">
      <c r="A2" s="5" t="inlineStr">
        <is>
          <t>状态</t>
        </is>
      </c>
      <c r="B2" s="5" t="inlineStr">
        <is>
          <t>已完成 / 已实现待提交 / 部分完成 / 待开始 / 外部申请 / 等待外部权限 / 需要测试账号 / 等待商务授权 / 等待白名单 / 等待资质 / 外部选型 / 等待供应商</t>
        </is>
      </c>
    </row>
    <row r="3">
      <c r="A3" s="5" t="inlineStr">
        <is>
          <t>优先级</t>
        </is>
      </c>
      <c r="B3" s="5" t="inlineStr">
        <is>
          <t>P0 为基础门禁；P1 小红书合法交接；P2 公众号 direct MVP；P3 微信开放平台生产化；P4 商业连接器和运营保障</t>
        </is>
      </c>
    </row>
    <row r="4">
      <c r="A4" s="5" t="inlineStr">
        <is>
          <t>估算人日</t>
        </is>
      </c>
      <c r="B4" s="5" t="inlineStr">
        <is>
          <t>工程与产品工作的粗估，不含平台审核等待时间；外部申请任务的人日只代表材料准备和跟进工作量</t>
        </is>
      </c>
    </row>
    <row r="5">
      <c r="A5" s="5" t="inlineStr">
        <is>
          <t>更新规则</t>
        </is>
      </c>
      <c r="B5" s="5" t="inlineStr">
        <is>
          <t>任务开始时更新状态、负责人和实际开始日；完成时补充成果引用与验收证据。平台审批未通过不得把等待任务改为完成。</t>
        </is>
      </c>
    </row>
    <row r="6">
      <c r="A6" s="5" t="inlineStr">
        <is>
          <t>安全底线</t>
        </is>
      </c>
      <c r="B6" s="5" t="inlineStr">
        <is>
          <t>不保存账号密码或 Cookie；不调用私有 API；不绕过验证码/风控；无官方回执不声称发布成功；所有真实外发均需审批和幂等审计。</t>
        </is>
      </c>
    </row>
    <row r="7">
      <c r="A7" s="5" t="inlineStr">
        <is>
          <t>选型依据</t>
        </is>
      </c>
      <c r="B7" s="5" t="inlineStr">
        <is>
          <t>项目 .context/notes/new-media-connector-selection.md（2026-09-16）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2026-09-16T16:08:32Z</dcterms:created>
  <dcterms:modified xmlns:dcterms="http://purl.org/dc/terms/" xmlns:xsi="http://www.w3.org/2001/XMLSchema-instance" xsi:type="dcterms:W3CDTF">2026-09-16T16:08:32Z</dcterms:modified>
</cp:coreProperties>
</file>